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<sst xmlns="http://schemas.openxmlformats.org/spreadsheetml/2006/main" count="77" uniqueCount="59">
  <si>
    <t xml:space="preserve">DATES </t>
  </si>
  <si>
    <t>VOUCHER NO</t>
  </si>
  <si>
    <t>IN POUT</t>
  </si>
  <si>
    <t>IN PUT</t>
  </si>
  <si>
    <t xml:space="preserve">OUT PUT </t>
  </si>
  <si>
    <t xml:space="preserve">BALANCE </t>
  </si>
  <si>
    <t xml:space="preserve">PERCENTAGE </t>
  </si>
  <si>
    <t>UNIT %</t>
  </si>
  <si>
    <t>MOYENNE</t>
  </si>
  <si>
    <t>QTY</t>
  </si>
  <si>
    <t>BALANCE</t>
  </si>
  <si>
    <t>NB</t>
  </si>
  <si>
    <t>U</t>
  </si>
  <si>
    <t>T.UNITY</t>
  </si>
  <si>
    <t>MOYENNE NB</t>
  </si>
  <si>
    <t>U. PRICE</t>
  </si>
  <si>
    <t>MOYENNE PRICE</t>
  </si>
  <si>
    <t>EXCHANGE</t>
  </si>
  <si>
    <t>AMOUNT</t>
  </si>
  <si>
    <t>TRANSP.(TAG)</t>
  </si>
  <si>
    <t>TOT.AMONT TAG</t>
  </si>
  <si>
    <t>RMA</t>
  </si>
  <si>
    <t>INKOMANE</t>
  </si>
  <si>
    <t xml:space="preserve">3% RRA </t>
  </si>
  <si>
    <t xml:space="preserve">TOTAL BALANCE </t>
  </si>
  <si>
    <t>23/10/2025</t>
  </si>
  <si>
    <t>SSM/TA/1387</t>
  </si>
  <si>
    <t>UWIZEYIMANA PIERRE</t>
  </si>
  <si>
    <t>24/10/2025</t>
  </si>
  <si>
    <t>SSM/TA/1383</t>
  </si>
  <si>
    <t>MBIHORERE J.B</t>
  </si>
  <si>
    <t>SSM/TA/1384</t>
  </si>
  <si>
    <t xml:space="preserve">UWAMBAJIMANA P. CELESTIN </t>
  </si>
  <si>
    <t>SSM/TA/1370</t>
  </si>
  <si>
    <t xml:space="preserve">IKIROMBE RWAMAGANA </t>
  </si>
  <si>
    <t>SSM/TA/1376</t>
  </si>
  <si>
    <t>SSM/TA/1379</t>
  </si>
  <si>
    <t>RWAMAGANA / DANNY</t>
  </si>
  <si>
    <t>SSM/TA/1380</t>
  </si>
  <si>
    <t>SSM/TA/1371</t>
  </si>
  <si>
    <t>SSM/TA/1381</t>
  </si>
  <si>
    <t>KINOLI</t>
  </si>
  <si>
    <t>SSM/TA/1385</t>
  </si>
  <si>
    <t>SIFA SABATO</t>
  </si>
  <si>
    <t>SSM/TA/1388</t>
  </si>
  <si>
    <t>NSENGIMANA JOSEPH</t>
  </si>
  <si>
    <t>SSM/TA/1373</t>
  </si>
  <si>
    <t>HATEGEKIMANA J. BAPTISTE</t>
  </si>
  <si>
    <t>SSM/TA/1389</t>
  </si>
  <si>
    <t>BYEMVENI/ BIENVENU</t>
  </si>
  <si>
    <t>SSM/TA/1356</t>
  </si>
  <si>
    <t>M&amp;M GAKENKE/ RUKOMA</t>
  </si>
  <si>
    <t>22/10/2025</t>
  </si>
  <si>
    <t>SSM/TA/1364</t>
  </si>
  <si>
    <t>UTAMURIZA MUREKATETE</t>
  </si>
  <si>
    <t>27/10/2025</t>
  </si>
  <si>
    <t>SSM/TA/1391</t>
  </si>
  <si>
    <t>UZABUMUGABO GRACIEN</t>
  </si>
  <si>
    <t>SSM/TA/1390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</si>
</sst>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mm/dd/yyyy"/>
  </numFmts>
  <fonts count="5">
    <font>
      <sz val="10.0"/>
      <color rgb="FF000000"/>
      <name val="Arial"/>
      <scheme val="minor"/>
    </font>
    <font>
      <b/>
      <i/>
      <sz val="12.0"/>
      <color theme="1"/>
      <name val="Calibri"/>
    </font>
    <font>
      <b/>
      <sz val="12.0"/>
      <color theme="1"/>
      <name val="Calibri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4" xfId="0" applyAlignment="1" applyBorder="1" applyFill="1" applyFont="1" applyNumberFormat="1">
      <alignment shrinkToFit="0" vertical="bottom" wrapText="1"/>
    </xf>
    <xf borderId="1" fillId="2" fontId="1" numFmtId="4" xfId="0" applyAlignment="1" applyBorder="1" applyFont="1" applyNumberFormat="1">
      <alignment horizontal="right" shrinkToFit="0" vertical="bottom" wrapText="1"/>
    </xf>
    <xf borderId="1" fillId="2" fontId="2" numFmtId="4" xfId="0" applyAlignment="1" applyBorder="1" applyFont="1" applyNumberFormat="1">
      <alignment vertical="bottom"/>
    </xf>
    <xf borderId="1" fillId="2" fontId="2" numFmtId="164" xfId="0" applyAlignment="1" applyBorder="1" applyFont="1" applyNumberFormat="1">
      <alignment vertical="bottom"/>
    </xf>
    <xf borderId="1" fillId="2" fontId="3" numFmtId="4" xfId="0" applyAlignment="1" applyBorder="1" applyFont="1" applyNumberFormat="1">
      <alignment vertical="bottom"/>
    </xf>
    <xf borderId="1" fillId="0" fontId="2" numFmtId="4" xfId="0" applyAlignment="1" applyBorder="1" applyFont="1" applyNumberFormat="1">
      <alignment vertical="bottom"/>
    </xf>
    <xf borderId="1" fillId="0" fontId="2" numFmtId="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2" fontId="3" numFmtId="3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2" fontId="4" numFmtId="3" xfId="0" applyAlignment="1" applyBorder="1" applyFont="1" applyNumberFormat="1">
      <alignment horizontal="right" vertical="bottom"/>
    </xf>
    <xf borderId="1" fillId="2" fontId="4" numFmtId="0" xfId="0" applyAlignment="1" applyBorder="1" applyFont="1">
      <alignment vertical="bottom"/>
    </xf>
    <xf borderId="1" fillId="2" fontId="4" numFmtId="165" xfId="0" applyAlignment="1" applyBorder="1" applyFont="1" applyNumberFormat="1">
      <alignment vertical="bottom"/>
    </xf>
    <xf borderId="1" fillId="2" fontId="4" numFmtId="0" xfId="0" applyAlignment="1" applyBorder="1" applyFont="1">
      <alignment horizontal="right" vertical="bottom"/>
    </xf>
    <xf borderId="1" fillId="3" fontId="4" numFmtId="0" xfId="0" applyAlignment="1" applyBorder="1" applyFill="1" applyFont="1">
      <alignment vertical="bottom"/>
    </xf>
    <xf borderId="1" fillId="3" fontId="4" numFmtId="0" xfId="0" applyAlignment="1" applyBorder="1" applyFont="1">
      <alignment horizontal="right" vertical="bottom"/>
    </xf>
    <xf borderId="1" fillId="3" fontId="3" numFmtId="0" xfId="0" applyAlignment="1" applyBorder="1" applyFont="1">
      <alignment horizontal="right" vertical="bottom"/>
    </xf>
    <xf borderId="0" fillId="3" fontId="4" numFmtId="0" xfId="0" applyAlignment="1" applyFont="1">
      <alignment vertical="bottom"/>
    </xf>
    <xf borderId="0" fillId="3" fontId="3" numFmtId="0" xfId="0" applyAlignment="1" applyFont="1">
      <alignment horizontal="right" vertical="bottom"/>
    </xf>
    <xf borderId="0" fillId="2" fontId="4" numFmtId="0" xfId="0" applyAlignment="1" applyFont="1">
      <alignment vertical="bottom"/>
    </xf>
    <xf borderId="1" fillId="2" fontId="4" numFmtId="3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5"/>
    <col customWidth="1" min="21" max="21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1" t="s">
        <v>9</v>
      </c>
      <c r="K1" s="1" t="s">
        <v>10</v>
      </c>
      <c r="L1" s="6" t="s">
        <v>11</v>
      </c>
      <c r="M1" s="7" t="s">
        <v>12</v>
      </c>
      <c r="N1" s="8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10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2" t="s">
        <v>23</v>
      </c>
      <c r="Y1" s="11" t="s">
        <v>10</v>
      </c>
      <c r="Z1" s="11" t="s">
        <v>24</v>
      </c>
    </row>
    <row r="2">
      <c r="A2" s="13" t="s">
        <v>25</v>
      </c>
      <c r="B2" s="13" t="s">
        <v>26</v>
      </c>
      <c r="C2" s="13" t="s">
        <v>27</v>
      </c>
      <c r="D2" s="14">
        <v>5.9</v>
      </c>
      <c r="E2" s="13"/>
      <c r="F2" s="14">
        <f>D2</f>
        <v>5.9</v>
      </c>
      <c r="G2" s="14">
        <v>21.5</v>
      </c>
      <c r="H2" s="14">
        <f t="shared" ref="H2:H18" si="1">G2*D2</f>
        <v>126.85</v>
      </c>
      <c r="I2" s="13"/>
      <c r="J2" s="14">
        <v>5.9</v>
      </c>
      <c r="K2" s="14">
        <f>J2</f>
        <v>5.9</v>
      </c>
      <c r="L2" s="14">
        <v>14.71</v>
      </c>
      <c r="M2" s="14">
        <f t="shared" ref="M2:M18" si="2">L2*J2</f>
        <v>86.789</v>
      </c>
      <c r="N2" s="14">
        <f>M2</f>
        <v>86.789</v>
      </c>
      <c r="O2" s="13"/>
      <c r="P2" s="14">
        <v>1.8</v>
      </c>
      <c r="Q2" s="13"/>
      <c r="R2" s="14">
        <v>1440.0</v>
      </c>
      <c r="S2" s="15">
        <f t="shared" ref="S2:S18" si="3">P2*R2*D2*G2</f>
        <v>328795.2</v>
      </c>
      <c r="T2" s="14">
        <v>2500.0</v>
      </c>
      <c r="U2" s="15">
        <f t="shared" ref="U2:U17" si="4">T2*D2</f>
        <v>14750</v>
      </c>
      <c r="V2" s="15">
        <f t="shared" ref="V2:V18" si="5">125*D2</f>
        <v>737.5</v>
      </c>
      <c r="W2" s="15">
        <f t="shared" ref="W2:W18" si="6">40*D2</f>
        <v>236</v>
      </c>
      <c r="X2" s="15">
        <f t="shared" ref="X2:X18" si="7">(1.95*R2*G2*D2)*3/100</f>
        <v>10685.844</v>
      </c>
      <c r="Y2" s="15">
        <f t="shared" ref="Y2:Y18" si="8">S2-U2-V2-W2-X2</f>
        <v>302385.856</v>
      </c>
      <c r="Z2" s="15">
        <f>Y2</f>
        <v>302385.856</v>
      </c>
    </row>
    <row r="3">
      <c r="A3" s="16" t="s">
        <v>28</v>
      </c>
      <c r="B3" s="13" t="s">
        <v>29</v>
      </c>
      <c r="C3" s="16" t="s">
        <v>30</v>
      </c>
      <c r="D3" s="14">
        <v>9.4</v>
      </c>
      <c r="E3" s="13"/>
      <c r="F3" s="14">
        <f t="shared" ref="F3:F18" si="9">F2+D3</f>
        <v>15.3</v>
      </c>
      <c r="G3" s="14">
        <v>15.5</v>
      </c>
      <c r="H3" s="14">
        <f t="shared" si="1"/>
        <v>145.7</v>
      </c>
      <c r="I3" s="13"/>
      <c r="J3" s="14">
        <v>9.4</v>
      </c>
      <c r="K3" s="14">
        <f t="shared" ref="K3:K18" si="10">K2+J3</f>
        <v>15.3</v>
      </c>
      <c r="L3" s="14">
        <v>18.67</v>
      </c>
      <c r="M3" s="14">
        <f t="shared" si="2"/>
        <v>175.498</v>
      </c>
      <c r="N3" s="14">
        <f t="shared" ref="N3:N18" si="11">N2+M3</f>
        <v>262.287</v>
      </c>
      <c r="O3" s="13"/>
      <c r="P3" s="14">
        <v>1.8</v>
      </c>
      <c r="Q3" s="13"/>
      <c r="R3" s="14">
        <v>1440.0</v>
      </c>
      <c r="S3" s="15">
        <f t="shared" si="3"/>
        <v>377654.4</v>
      </c>
      <c r="T3" s="14">
        <v>2500.0</v>
      </c>
      <c r="U3" s="15">
        <f t="shared" si="4"/>
        <v>23500</v>
      </c>
      <c r="V3" s="15">
        <f t="shared" si="5"/>
        <v>1175</v>
      </c>
      <c r="W3" s="15">
        <f t="shared" si="6"/>
        <v>376</v>
      </c>
      <c r="X3" s="15">
        <f t="shared" si="7"/>
        <v>12273.768</v>
      </c>
      <c r="Y3" s="15">
        <f t="shared" si="8"/>
        <v>340329.632</v>
      </c>
      <c r="Z3" s="15">
        <f t="shared" ref="Z3:Z18" si="12">Z2+Y3</f>
        <v>642715.488</v>
      </c>
    </row>
    <row r="4">
      <c r="A4" s="16" t="s">
        <v>28</v>
      </c>
      <c r="B4" s="13" t="s">
        <v>31</v>
      </c>
      <c r="C4" s="13" t="s">
        <v>32</v>
      </c>
      <c r="D4" s="14">
        <v>4.9</v>
      </c>
      <c r="E4" s="13"/>
      <c r="F4" s="14">
        <f t="shared" si="9"/>
        <v>20.2</v>
      </c>
      <c r="G4" s="14">
        <v>22.01</v>
      </c>
      <c r="H4" s="14">
        <f t="shared" si="1"/>
        <v>107.849</v>
      </c>
      <c r="I4" s="13"/>
      <c r="J4" s="14">
        <v>4.9</v>
      </c>
      <c r="K4" s="14">
        <f t="shared" si="10"/>
        <v>20.2</v>
      </c>
      <c r="L4" s="14">
        <v>21.14</v>
      </c>
      <c r="M4" s="14">
        <f t="shared" si="2"/>
        <v>103.586</v>
      </c>
      <c r="N4" s="14">
        <f t="shared" si="11"/>
        <v>365.873</v>
      </c>
      <c r="O4" s="13"/>
      <c r="P4" s="14">
        <v>1.8</v>
      </c>
      <c r="Q4" s="13"/>
      <c r="R4" s="14">
        <v>1440.0</v>
      </c>
      <c r="S4" s="15">
        <f t="shared" si="3"/>
        <v>279544.608</v>
      </c>
      <c r="T4" s="14">
        <v>2500.0</v>
      </c>
      <c r="U4" s="15">
        <f t="shared" si="4"/>
        <v>12250</v>
      </c>
      <c r="V4" s="15">
        <f t="shared" si="5"/>
        <v>612.5</v>
      </c>
      <c r="W4" s="15">
        <f t="shared" si="6"/>
        <v>196</v>
      </c>
      <c r="X4" s="15">
        <f t="shared" si="7"/>
        <v>9085.19976</v>
      </c>
      <c r="Y4" s="15">
        <f t="shared" si="8"/>
        <v>257400.9082</v>
      </c>
      <c r="Z4" s="15">
        <f t="shared" si="12"/>
        <v>900116.3962</v>
      </c>
    </row>
    <row r="5">
      <c r="A5" s="16" t="s">
        <v>28</v>
      </c>
      <c r="B5" s="13" t="s">
        <v>33</v>
      </c>
      <c r="C5" s="13" t="s">
        <v>34</v>
      </c>
      <c r="D5" s="14">
        <v>76.3</v>
      </c>
      <c r="E5" s="13"/>
      <c r="F5" s="14">
        <f t="shared" si="9"/>
        <v>96.5</v>
      </c>
      <c r="G5" s="14">
        <v>41.5</v>
      </c>
      <c r="H5" s="14">
        <f t="shared" si="1"/>
        <v>3166.45</v>
      </c>
      <c r="I5" s="13"/>
      <c r="J5" s="14">
        <v>76.3</v>
      </c>
      <c r="K5" s="14">
        <f t="shared" si="10"/>
        <v>96.5</v>
      </c>
      <c r="L5" s="14">
        <v>16.85</v>
      </c>
      <c r="M5" s="14">
        <f t="shared" si="2"/>
        <v>1285.655</v>
      </c>
      <c r="N5" s="14">
        <f t="shared" si="11"/>
        <v>1651.528</v>
      </c>
      <c r="O5" s="13"/>
      <c r="P5" s="14">
        <v>1.79</v>
      </c>
      <c r="Q5" s="13"/>
      <c r="R5" s="14">
        <v>1440.0</v>
      </c>
      <c r="S5" s="15">
        <f t="shared" si="3"/>
        <v>8161841.52</v>
      </c>
      <c r="T5" s="14">
        <v>2500.0</v>
      </c>
      <c r="U5" s="15">
        <f t="shared" si="4"/>
        <v>190750</v>
      </c>
      <c r="V5" s="15">
        <f t="shared" si="5"/>
        <v>9537.5</v>
      </c>
      <c r="W5" s="15">
        <f t="shared" si="6"/>
        <v>3052</v>
      </c>
      <c r="X5" s="15">
        <f t="shared" si="7"/>
        <v>266741.748</v>
      </c>
      <c r="Y5" s="15">
        <f t="shared" si="8"/>
        <v>7691760.272</v>
      </c>
      <c r="Z5" s="15">
        <f t="shared" si="12"/>
        <v>8591876.668</v>
      </c>
    </row>
    <row r="6">
      <c r="A6" s="16" t="s">
        <v>28</v>
      </c>
      <c r="B6" s="13" t="s">
        <v>35</v>
      </c>
      <c r="C6" s="13" t="s">
        <v>34</v>
      </c>
      <c r="D6" s="14">
        <v>76.8</v>
      </c>
      <c r="E6" s="13"/>
      <c r="F6" s="14">
        <f t="shared" si="9"/>
        <v>173.3</v>
      </c>
      <c r="G6" s="14">
        <v>40.8</v>
      </c>
      <c r="H6" s="14">
        <f t="shared" si="1"/>
        <v>3133.44</v>
      </c>
      <c r="I6" s="13"/>
      <c r="J6" s="14">
        <v>76.8</v>
      </c>
      <c r="K6" s="14">
        <f t="shared" si="10"/>
        <v>173.3</v>
      </c>
      <c r="L6" s="14">
        <v>20.29</v>
      </c>
      <c r="M6" s="14">
        <f t="shared" si="2"/>
        <v>1558.272</v>
      </c>
      <c r="N6" s="14">
        <f t="shared" si="11"/>
        <v>3209.8</v>
      </c>
      <c r="O6" s="13"/>
      <c r="P6" s="14">
        <v>1.79</v>
      </c>
      <c r="Q6" s="13"/>
      <c r="R6" s="14">
        <v>1440.0</v>
      </c>
      <c r="S6" s="15">
        <f t="shared" si="3"/>
        <v>8076754.944</v>
      </c>
      <c r="T6" s="14">
        <v>2500.0</v>
      </c>
      <c r="U6" s="15">
        <f t="shared" si="4"/>
        <v>192000</v>
      </c>
      <c r="V6" s="15">
        <f t="shared" si="5"/>
        <v>9600</v>
      </c>
      <c r="W6" s="15">
        <f t="shared" si="6"/>
        <v>3072</v>
      </c>
      <c r="X6" s="15">
        <f t="shared" si="7"/>
        <v>263960.9856</v>
      </c>
      <c r="Y6" s="15">
        <f t="shared" si="8"/>
        <v>7608121.958</v>
      </c>
      <c r="Z6" s="15">
        <f t="shared" si="12"/>
        <v>16199998.63</v>
      </c>
    </row>
    <row r="7">
      <c r="A7" s="16" t="s">
        <v>28</v>
      </c>
      <c r="B7" s="13" t="s">
        <v>36</v>
      </c>
      <c r="C7" s="13" t="s">
        <v>37</v>
      </c>
      <c r="D7" s="14">
        <v>23.9</v>
      </c>
      <c r="E7" s="13"/>
      <c r="F7" s="14">
        <f t="shared" si="9"/>
        <v>197.2</v>
      </c>
      <c r="G7" s="14">
        <v>49.46</v>
      </c>
      <c r="H7" s="14">
        <f t="shared" si="1"/>
        <v>1182.094</v>
      </c>
      <c r="I7" s="13"/>
      <c r="J7" s="14">
        <v>23.9</v>
      </c>
      <c r="K7" s="14">
        <f t="shared" si="10"/>
        <v>197.2</v>
      </c>
      <c r="L7" s="14">
        <v>12.24</v>
      </c>
      <c r="M7" s="14">
        <f t="shared" si="2"/>
        <v>292.536</v>
      </c>
      <c r="N7" s="14">
        <f t="shared" si="11"/>
        <v>3502.336</v>
      </c>
      <c r="O7" s="13"/>
      <c r="P7" s="14">
        <v>1.79</v>
      </c>
      <c r="Q7" s="13"/>
      <c r="R7" s="14">
        <v>1440.0</v>
      </c>
      <c r="S7" s="15">
        <f t="shared" si="3"/>
        <v>3046965.494</v>
      </c>
      <c r="T7" s="14">
        <v>2500.0</v>
      </c>
      <c r="U7" s="15">
        <f t="shared" si="4"/>
        <v>59750</v>
      </c>
      <c r="V7" s="15">
        <f t="shared" si="5"/>
        <v>2987.5</v>
      </c>
      <c r="W7" s="15">
        <f t="shared" si="6"/>
        <v>956</v>
      </c>
      <c r="X7" s="15">
        <f t="shared" si="7"/>
        <v>99579.59856</v>
      </c>
      <c r="Y7" s="15">
        <f t="shared" si="8"/>
        <v>2883692.396</v>
      </c>
      <c r="Z7" s="15">
        <f t="shared" si="12"/>
        <v>19083691.02</v>
      </c>
    </row>
    <row r="8">
      <c r="A8" s="16" t="s">
        <v>28</v>
      </c>
      <c r="B8" s="13" t="s">
        <v>38</v>
      </c>
      <c r="C8" s="13" t="s">
        <v>34</v>
      </c>
      <c r="D8" s="14">
        <v>21.4</v>
      </c>
      <c r="E8" s="13"/>
      <c r="F8" s="14">
        <f t="shared" si="9"/>
        <v>218.6</v>
      </c>
      <c r="G8" s="14">
        <v>36.5</v>
      </c>
      <c r="H8" s="14">
        <f t="shared" si="1"/>
        <v>781.1</v>
      </c>
      <c r="I8" s="13"/>
      <c r="J8" s="14">
        <v>21.4</v>
      </c>
      <c r="K8" s="14">
        <f t="shared" si="10"/>
        <v>218.6</v>
      </c>
      <c r="L8" s="14">
        <v>17.23</v>
      </c>
      <c r="M8" s="14">
        <f t="shared" si="2"/>
        <v>368.722</v>
      </c>
      <c r="N8" s="14">
        <f t="shared" si="11"/>
        <v>3871.058</v>
      </c>
      <c r="O8" s="13"/>
      <c r="P8" s="14">
        <v>1.79</v>
      </c>
      <c r="Q8" s="13"/>
      <c r="R8" s="14">
        <v>1440.0</v>
      </c>
      <c r="S8" s="15">
        <f t="shared" si="3"/>
        <v>2013363.36</v>
      </c>
      <c r="T8" s="14">
        <v>2500.0</v>
      </c>
      <c r="U8" s="15">
        <f t="shared" si="4"/>
        <v>53500</v>
      </c>
      <c r="V8" s="15">
        <f t="shared" si="5"/>
        <v>2675</v>
      </c>
      <c r="W8" s="15">
        <f t="shared" si="6"/>
        <v>856</v>
      </c>
      <c r="X8" s="15">
        <f t="shared" si="7"/>
        <v>65799.864</v>
      </c>
      <c r="Y8" s="15">
        <f t="shared" si="8"/>
        <v>1890532.496</v>
      </c>
      <c r="Z8" s="15">
        <f t="shared" si="12"/>
        <v>20974223.52</v>
      </c>
    </row>
    <row r="9">
      <c r="A9" s="16" t="s">
        <v>28</v>
      </c>
      <c r="B9" s="13" t="s">
        <v>39</v>
      </c>
      <c r="C9" s="13" t="s">
        <v>34</v>
      </c>
      <c r="D9" s="14">
        <v>19.9</v>
      </c>
      <c r="E9" s="13"/>
      <c r="F9" s="14">
        <f t="shared" si="9"/>
        <v>238.5</v>
      </c>
      <c r="G9" s="14">
        <v>37.7</v>
      </c>
      <c r="H9" s="14">
        <f t="shared" si="1"/>
        <v>750.23</v>
      </c>
      <c r="I9" s="13"/>
      <c r="J9" s="14">
        <v>19.9</v>
      </c>
      <c r="K9" s="14">
        <f t="shared" si="10"/>
        <v>238.5</v>
      </c>
      <c r="L9" s="14">
        <v>19.6</v>
      </c>
      <c r="M9" s="14">
        <f t="shared" si="2"/>
        <v>390.04</v>
      </c>
      <c r="N9" s="14">
        <f t="shared" si="11"/>
        <v>4261.098</v>
      </c>
      <c r="O9" s="13"/>
      <c r="P9" s="14">
        <v>1.79</v>
      </c>
      <c r="Q9" s="13"/>
      <c r="R9" s="14">
        <v>1440.0</v>
      </c>
      <c r="S9" s="15">
        <f t="shared" si="3"/>
        <v>1933792.848</v>
      </c>
      <c r="T9" s="14">
        <v>2500.0</v>
      </c>
      <c r="U9" s="15">
        <f t="shared" si="4"/>
        <v>49750</v>
      </c>
      <c r="V9" s="15">
        <f t="shared" si="5"/>
        <v>2487.5</v>
      </c>
      <c r="W9" s="15">
        <f t="shared" si="6"/>
        <v>796</v>
      </c>
      <c r="X9" s="15">
        <f t="shared" si="7"/>
        <v>63199.3752</v>
      </c>
      <c r="Y9" s="15">
        <f t="shared" si="8"/>
        <v>1817559.973</v>
      </c>
      <c r="Z9" s="15">
        <f t="shared" si="12"/>
        <v>22791783.49</v>
      </c>
    </row>
    <row r="10">
      <c r="A10" s="16" t="s">
        <v>28</v>
      </c>
      <c r="B10" s="13" t="s">
        <v>40</v>
      </c>
      <c r="C10" s="13" t="s">
        <v>41</v>
      </c>
      <c r="D10" s="14">
        <v>6.4</v>
      </c>
      <c r="E10" s="13"/>
      <c r="F10" s="14">
        <f t="shared" si="9"/>
        <v>244.9</v>
      </c>
      <c r="G10" s="14">
        <v>17.21</v>
      </c>
      <c r="H10" s="14">
        <f t="shared" si="1"/>
        <v>110.144</v>
      </c>
      <c r="I10" s="13"/>
      <c r="J10" s="14">
        <v>6.4</v>
      </c>
      <c r="K10" s="14">
        <f t="shared" si="10"/>
        <v>244.9</v>
      </c>
      <c r="L10" s="14">
        <v>9.79</v>
      </c>
      <c r="M10" s="14">
        <f t="shared" si="2"/>
        <v>62.656</v>
      </c>
      <c r="N10" s="14">
        <f t="shared" si="11"/>
        <v>4323.754</v>
      </c>
      <c r="O10" s="13"/>
      <c r="P10" s="14">
        <v>1.79</v>
      </c>
      <c r="Q10" s="13"/>
      <c r="R10" s="14">
        <v>1440.0</v>
      </c>
      <c r="S10" s="15">
        <f t="shared" si="3"/>
        <v>283907.1744</v>
      </c>
      <c r="T10" s="14">
        <v>2500.0</v>
      </c>
      <c r="U10" s="15">
        <f t="shared" si="4"/>
        <v>16000</v>
      </c>
      <c r="V10" s="15">
        <f t="shared" si="5"/>
        <v>800</v>
      </c>
      <c r="W10" s="15">
        <f t="shared" si="6"/>
        <v>256</v>
      </c>
      <c r="X10" s="15">
        <f t="shared" si="7"/>
        <v>9278.53056</v>
      </c>
      <c r="Y10" s="15">
        <f t="shared" si="8"/>
        <v>257572.6438</v>
      </c>
      <c r="Z10" s="15">
        <f t="shared" si="12"/>
        <v>23049356.14</v>
      </c>
    </row>
    <row r="11">
      <c r="A11" s="16" t="s">
        <v>28</v>
      </c>
      <c r="B11" s="13" t="s">
        <v>42</v>
      </c>
      <c r="C11" s="13" t="s">
        <v>43</v>
      </c>
      <c r="D11" s="14">
        <v>42.4</v>
      </c>
      <c r="E11" s="13"/>
      <c r="F11" s="14">
        <f t="shared" si="9"/>
        <v>287.3</v>
      </c>
      <c r="G11" s="14">
        <v>33.0</v>
      </c>
      <c r="H11" s="14">
        <f t="shared" si="1"/>
        <v>1399.2</v>
      </c>
      <c r="I11" s="13"/>
      <c r="J11" s="14">
        <v>42.4</v>
      </c>
      <c r="K11" s="14">
        <f t="shared" si="10"/>
        <v>287.3</v>
      </c>
      <c r="L11" s="14">
        <v>13.21</v>
      </c>
      <c r="M11" s="14">
        <f t="shared" si="2"/>
        <v>560.104</v>
      </c>
      <c r="N11" s="14">
        <f t="shared" si="11"/>
        <v>4883.858</v>
      </c>
      <c r="O11" s="13"/>
      <c r="P11" s="14">
        <v>1.8</v>
      </c>
      <c r="Q11" s="13"/>
      <c r="R11" s="14">
        <v>1440.0</v>
      </c>
      <c r="S11" s="15">
        <f t="shared" si="3"/>
        <v>3626726.4</v>
      </c>
      <c r="T11" s="14">
        <v>2500.0</v>
      </c>
      <c r="U11" s="15">
        <f t="shared" si="4"/>
        <v>106000</v>
      </c>
      <c r="V11" s="15">
        <f t="shared" si="5"/>
        <v>5300</v>
      </c>
      <c r="W11" s="15">
        <f t="shared" si="6"/>
        <v>1696</v>
      </c>
      <c r="X11" s="15">
        <f t="shared" si="7"/>
        <v>117868.608</v>
      </c>
      <c r="Y11" s="15">
        <f t="shared" si="8"/>
        <v>3395861.792</v>
      </c>
      <c r="Z11" s="15">
        <f t="shared" si="12"/>
        <v>26445217.93</v>
      </c>
    </row>
    <row r="12">
      <c r="A12" s="16" t="s">
        <v>28</v>
      </c>
      <c r="B12" s="13" t="s">
        <v>44</v>
      </c>
      <c r="C12" s="16" t="s">
        <v>45</v>
      </c>
      <c r="D12" s="14">
        <v>21.9</v>
      </c>
      <c r="E12" s="13"/>
      <c r="F12" s="14">
        <f t="shared" si="9"/>
        <v>309.2</v>
      </c>
      <c r="G12" s="14">
        <v>21.5</v>
      </c>
      <c r="H12" s="14">
        <f t="shared" si="1"/>
        <v>470.85</v>
      </c>
      <c r="I12" s="13"/>
      <c r="J12" s="14">
        <v>21.9</v>
      </c>
      <c r="K12" s="14">
        <f t="shared" si="10"/>
        <v>309.2</v>
      </c>
      <c r="L12" s="14">
        <v>15.22</v>
      </c>
      <c r="M12" s="14">
        <f t="shared" si="2"/>
        <v>333.318</v>
      </c>
      <c r="N12" s="14">
        <f t="shared" si="11"/>
        <v>5217.176</v>
      </c>
      <c r="O12" s="13"/>
      <c r="P12" s="14">
        <v>1.78</v>
      </c>
      <c r="Q12" s="13"/>
      <c r="R12" s="14">
        <v>1440.0</v>
      </c>
      <c r="S12" s="15">
        <f t="shared" si="3"/>
        <v>1206882.72</v>
      </c>
      <c r="T12" s="14">
        <v>2500.0</v>
      </c>
      <c r="U12" s="15">
        <f t="shared" si="4"/>
        <v>54750</v>
      </c>
      <c r="V12" s="15">
        <f t="shared" si="5"/>
        <v>2737.5</v>
      </c>
      <c r="W12" s="15">
        <f t="shared" si="6"/>
        <v>876</v>
      </c>
      <c r="X12" s="15">
        <f t="shared" si="7"/>
        <v>39664.404</v>
      </c>
      <c r="Y12" s="15">
        <f t="shared" si="8"/>
        <v>1108854.816</v>
      </c>
      <c r="Z12" s="15">
        <f t="shared" si="12"/>
        <v>27554072.74</v>
      </c>
    </row>
    <row r="13">
      <c r="A13" s="16" t="s">
        <v>28</v>
      </c>
      <c r="B13" s="13" t="s">
        <v>46</v>
      </c>
      <c r="C13" s="13" t="s">
        <v>47</v>
      </c>
      <c r="D13" s="14">
        <v>14.9</v>
      </c>
      <c r="E13" s="13"/>
      <c r="F13" s="14">
        <f t="shared" si="9"/>
        <v>324.1</v>
      </c>
      <c r="G13" s="14">
        <v>6.0</v>
      </c>
      <c r="H13" s="14">
        <f t="shared" si="1"/>
        <v>89.4</v>
      </c>
      <c r="I13" s="13"/>
      <c r="J13" s="14">
        <v>14.9</v>
      </c>
      <c r="K13" s="14">
        <f t="shared" si="10"/>
        <v>324.1</v>
      </c>
      <c r="L13" s="14">
        <v>5.41</v>
      </c>
      <c r="M13" s="14">
        <f t="shared" si="2"/>
        <v>80.609</v>
      </c>
      <c r="N13" s="14">
        <f t="shared" si="11"/>
        <v>5297.785</v>
      </c>
      <c r="O13" s="13"/>
      <c r="P13" s="14">
        <v>1.78</v>
      </c>
      <c r="Q13" s="13"/>
      <c r="R13" s="14">
        <v>1440.0</v>
      </c>
      <c r="S13" s="15">
        <f t="shared" si="3"/>
        <v>229150.08</v>
      </c>
      <c r="T13" s="14">
        <v>2500.0</v>
      </c>
      <c r="U13" s="15">
        <f t="shared" si="4"/>
        <v>37250</v>
      </c>
      <c r="V13" s="15">
        <f t="shared" si="5"/>
        <v>1862.5</v>
      </c>
      <c r="W13" s="15">
        <f t="shared" si="6"/>
        <v>596</v>
      </c>
      <c r="X13" s="15">
        <f t="shared" si="7"/>
        <v>7531.056</v>
      </c>
      <c r="Y13" s="15">
        <f t="shared" si="8"/>
        <v>181910.524</v>
      </c>
      <c r="Z13" s="15">
        <f t="shared" si="12"/>
        <v>27735983.27</v>
      </c>
    </row>
    <row r="14">
      <c r="A14" s="17" t="s">
        <v>28</v>
      </c>
      <c r="B14" s="13" t="s">
        <v>48</v>
      </c>
      <c r="C14" s="16" t="s">
        <v>49</v>
      </c>
      <c r="D14" s="14">
        <v>4.4</v>
      </c>
      <c r="E14" s="13"/>
      <c r="F14" s="14">
        <f t="shared" si="9"/>
        <v>328.5</v>
      </c>
      <c r="G14" s="14">
        <v>6.4</v>
      </c>
      <c r="H14" s="14">
        <f t="shared" si="1"/>
        <v>28.16</v>
      </c>
      <c r="I14" s="13"/>
      <c r="J14" s="14">
        <v>4.4</v>
      </c>
      <c r="K14" s="14">
        <f t="shared" si="10"/>
        <v>328.5</v>
      </c>
      <c r="L14" s="14">
        <v>5.13</v>
      </c>
      <c r="M14" s="14">
        <f t="shared" si="2"/>
        <v>22.572</v>
      </c>
      <c r="N14" s="14">
        <f t="shared" si="11"/>
        <v>5320.357</v>
      </c>
      <c r="O14" s="13"/>
      <c r="P14" s="14">
        <v>1.78</v>
      </c>
      <c r="Q14" s="13"/>
      <c r="R14" s="14">
        <v>1440.0</v>
      </c>
      <c r="S14" s="15">
        <f t="shared" si="3"/>
        <v>72179.712</v>
      </c>
      <c r="T14" s="14">
        <v>2500.0</v>
      </c>
      <c r="U14" s="15">
        <f t="shared" si="4"/>
        <v>11000</v>
      </c>
      <c r="V14" s="15">
        <f t="shared" si="5"/>
        <v>550</v>
      </c>
      <c r="W14" s="15">
        <f t="shared" si="6"/>
        <v>176</v>
      </c>
      <c r="X14" s="15">
        <f t="shared" si="7"/>
        <v>2372.1984</v>
      </c>
      <c r="Y14" s="15">
        <f t="shared" si="8"/>
        <v>58081.5136</v>
      </c>
      <c r="Z14" s="15">
        <f t="shared" si="12"/>
        <v>27794064.78</v>
      </c>
    </row>
    <row r="15">
      <c r="A15" s="16" t="s">
        <v>25</v>
      </c>
      <c r="B15" s="16" t="s">
        <v>50</v>
      </c>
      <c r="C15" s="16" t="s">
        <v>51</v>
      </c>
      <c r="D15" s="18">
        <f>257.2-150</f>
        <v>107.2</v>
      </c>
      <c r="E15" s="16"/>
      <c r="F15" s="14">
        <f t="shared" si="9"/>
        <v>435.7</v>
      </c>
      <c r="G15" s="18">
        <v>24.6</v>
      </c>
      <c r="H15" s="14">
        <f t="shared" si="1"/>
        <v>2637.12</v>
      </c>
      <c r="I15" s="16"/>
      <c r="J15" s="18">
        <v>107.2</v>
      </c>
      <c r="K15" s="14">
        <f t="shared" si="10"/>
        <v>435.7</v>
      </c>
      <c r="L15" s="18">
        <v>28.06</v>
      </c>
      <c r="M15" s="14">
        <f t="shared" si="2"/>
        <v>3008.032</v>
      </c>
      <c r="N15" s="14">
        <f t="shared" si="11"/>
        <v>8328.389</v>
      </c>
      <c r="O15" s="16"/>
      <c r="P15" s="18">
        <v>1.78</v>
      </c>
      <c r="Q15" s="16"/>
      <c r="R15" s="18">
        <v>1440.0</v>
      </c>
      <c r="S15" s="15">
        <f t="shared" si="3"/>
        <v>6759465.984</v>
      </c>
      <c r="T15" s="18">
        <v>2000.0</v>
      </c>
      <c r="U15" s="15">
        <f t="shared" si="4"/>
        <v>214400</v>
      </c>
      <c r="V15" s="15">
        <f t="shared" si="5"/>
        <v>13400</v>
      </c>
      <c r="W15" s="15">
        <f t="shared" si="6"/>
        <v>4288</v>
      </c>
      <c r="X15" s="15">
        <f t="shared" si="7"/>
        <v>222150.9888</v>
      </c>
      <c r="Y15" s="15">
        <f t="shared" si="8"/>
        <v>6305226.995</v>
      </c>
      <c r="Z15" s="15">
        <f t="shared" si="12"/>
        <v>34099291.78</v>
      </c>
    </row>
    <row r="16">
      <c r="A16" s="13" t="s">
        <v>52</v>
      </c>
      <c r="B16" s="13" t="s">
        <v>53</v>
      </c>
      <c r="C16" s="13" t="s">
        <v>54</v>
      </c>
      <c r="D16" s="14">
        <v>300.0</v>
      </c>
      <c r="E16" s="13"/>
      <c r="F16" s="14">
        <f t="shared" si="9"/>
        <v>735.7</v>
      </c>
      <c r="G16" s="14">
        <v>25.02</v>
      </c>
      <c r="H16" s="14">
        <f t="shared" si="1"/>
        <v>7506</v>
      </c>
      <c r="I16" s="13"/>
      <c r="J16" s="14">
        <v>300.0</v>
      </c>
      <c r="K16" s="14">
        <f t="shared" si="10"/>
        <v>735.7</v>
      </c>
      <c r="L16" s="14">
        <v>5.63</v>
      </c>
      <c r="M16" s="14">
        <f t="shared" si="2"/>
        <v>1689</v>
      </c>
      <c r="N16" s="14">
        <f t="shared" si="11"/>
        <v>10017.389</v>
      </c>
      <c r="O16" s="13"/>
      <c r="P16" s="14">
        <v>1.7</v>
      </c>
      <c r="Q16" s="13"/>
      <c r="R16" s="14">
        <v>1440.0</v>
      </c>
      <c r="S16" s="15">
        <f t="shared" si="3"/>
        <v>18374688</v>
      </c>
      <c r="T16" s="13"/>
      <c r="U16" s="15">
        <f t="shared" si="4"/>
        <v>0</v>
      </c>
      <c r="V16" s="15">
        <f t="shared" si="5"/>
        <v>37500</v>
      </c>
      <c r="W16" s="15">
        <f t="shared" si="6"/>
        <v>12000</v>
      </c>
      <c r="X16" s="15">
        <f t="shared" si="7"/>
        <v>632305.44</v>
      </c>
      <c r="Y16" s="15">
        <f t="shared" si="8"/>
        <v>17692882.56</v>
      </c>
      <c r="Z16" s="15">
        <f t="shared" si="12"/>
        <v>51792174.34</v>
      </c>
    </row>
    <row r="17">
      <c r="A17" s="13" t="s">
        <v>55</v>
      </c>
      <c r="B17" s="13" t="s">
        <v>56</v>
      </c>
      <c r="C17" s="13" t="s">
        <v>57</v>
      </c>
      <c r="D17" s="14">
        <v>3.9</v>
      </c>
      <c r="E17" s="13"/>
      <c r="F17" s="14">
        <f t="shared" si="9"/>
        <v>739.6</v>
      </c>
      <c r="G17" s="14">
        <v>14.0</v>
      </c>
      <c r="H17" s="14">
        <f t="shared" si="1"/>
        <v>54.6</v>
      </c>
      <c r="I17" s="13"/>
      <c r="J17" s="14">
        <v>3.9</v>
      </c>
      <c r="K17" s="14">
        <f t="shared" si="10"/>
        <v>739.6</v>
      </c>
      <c r="L17" s="14">
        <v>9.55</v>
      </c>
      <c r="M17" s="14">
        <f t="shared" si="2"/>
        <v>37.245</v>
      </c>
      <c r="N17" s="14">
        <f t="shared" si="11"/>
        <v>10054.634</v>
      </c>
      <c r="O17" s="13"/>
      <c r="P17" s="14">
        <v>1.77</v>
      </c>
      <c r="Q17" s="13"/>
      <c r="R17" s="14">
        <v>1440.0</v>
      </c>
      <c r="S17" s="15">
        <f t="shared" si="3"/>
        <v>139164.48</v>
      </c>
      <c r="T17" s="14">
        <v>2500.0</v>
      </c>
      <c r="U17" s="15">
        <f t="shared" si="4"/>
        <v>9750</v>
      </c>
      <c r="V17" s="15">
        <f t="shared" si="5"/>
        <v>487.5</v>
      </c>
      <c r="W17" s="15">
        <f t="shared" si="6"/>
        <v>156</v>
      </c>
      <c r="X17" s="15">
        <f t="shared" si="7"/>
        <v>4599.504</v>
      </c>
      <c r="Y17" s="15">
        <f t="shared" si="8"/>
        <v>124171.476</v>
      </c>
      <c r="Z17" s="15">
        <f t="shared" si="12"/>
        <v>51916345.81</v>
      </c>
    </row>
    <row r="18">
      <c r="A18" s="19" t="s">
        <v>55</v>
      </c>
      <c r="B18" s="19" t="s">
        <v>58</v>
      </c>
      <c r="C18" s="19" t="s">
        <v>57</v>
      </c>
      <c r="D18" s="20">
        <v>6.4</v>
      </c>
      <c r="E18" s="19"/>
      <c r="F18" s="21">
        <f t="shared" si="9"/>
        <v>746</v>
      </c>
      <c r="G18" s="20">
        <v>28.0</v>
      </c>
      <c r="H18" s="20">
        <f t="shared" si="1"/>
        <v>179.2</v>
      </c>
      <c r="I18" s="21">
        <f>H19/F18</f>
        <v>29.31419169</v>
      </c>
      <c r="J18" s="20">
        <v>6.4</v>
      </c>
      <c r="K18" s="21">
        <f t="shared" si="10"/>
        <v>746</v>
      </c>
      <c r="L18" s="20">
        <v>16.74</v>
      </c>
      <c r="M18" s="20">
        <f t="shared" si="2"/>
        <v>107.136</v>
      </c>
      <c r="N18" s="20">
        <f t="shared" si="11"/>
        <v>10161.77</v>
      </c>
      <c r="O18" s="21">
        <f>N18/K18</f>
        <v>13.6216756</v>
      </c>
      <c r="P18" s="20">
        <v>1.78</v>
      </c>
      <c r="Q18" s="19"/>
      <c r="R18" s="20">
        <v>1440.0</v>
      </c>
      <c r="S18" s="15">
        <f t="shared" si="3"/>
        <v>459325.44</v>
      </c>
      <c r="T18" s="19"/>
      <c r="U18" s="15">
        <v>2500.0</v>
      </c>
      <c r="V18" s="15">
        <f t="shared" si="5"/>
        <v>800</v>
      </c>
      <c r="W18" s="15">
        <f t="shared" si="6"/>
        <v>256</v>
      </c>
      <c r="X18" s="15">
        <f t="shared" si="7"/>
        <v>15095.808</v>
      </c>
      <c r="Y18" s="15">
        <f t="shared" si="8"/>
        <v>440673.632</v>
      </c>
      <c r="Z18" s="15">
        <f t="shared" si="12"/>
        <v>52357019.44</v>
      </c>
    </row>
    <row r="19">
      <c r="A19" s="22"/>
      <c r="B19" s="22"/>
      <c r="C19" s="22"/>
      <c r="D19" s="22"/>
      <c r="E19" s="22"/>
      <c r="F19" s="22"/>
      <c r="G19" s="22"/>
      <c r="H19" s="23">
        <f>SUM(H2:H18)</f>
        <v>21868.387</v>
      </c>
      <c r="I19" s="23">
        <v>30.33</v>
      </c>
      <c r="J19" s="22"/>
      <c r="K19" s="22"/>
      <c r="L19" s="22"/>
      <c r="M19" s="22"/>
      <c r="N19" s="22"/>
      <c r="O19" s="22"/>
      <c r="P19" s="22"/>
      <c r="Q19" s="22"/>
      <c r="R19" s="24"/>
      <c r="S19" s="25"/>
      <c r="T19" s="24"/>
      <c r="U19" s="25"/>
      <c r="V19" s="25"/>
      <c r="W19" s="25"/>
      <c r="X19" s="25"/>
      <c r="Y19" s="25"/>
      <c r="Z19" s="16"/>
    </row>
  </sheetData>
  <drawing r:id="rId1"/>
</worksheet>
</file>